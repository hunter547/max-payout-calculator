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<sst xmlns="http://schemas.openxmlformats.org/spreadsheetml/2006/main" count="12" uniqueCount="12">
  <si>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MyFundedFutures 50k Builder Max Payout Calculator</t>
  </si>
  <si>
    <t>Balance</t>
  </si>
  <si>
    <t>Payout Buffer</t>
  </si>
  <si>
    <t>Payout Cap</t>
  </si>
  <si>
    <t>Largest Profit Day</t>
  </si>
  <si>
    <t>Minimum Target Net Profit</t>
  </si>
  <si>
    <t>Current Net Profit</t>
  </si>
  <si>
    <t>Consistency Requirement</t>
  </si>
  <si>
    <t>Minimum Net Profit Required</t>
  </si>
  <si>
    <t>Remaining Profit Needed</t>
  </si>
  <si>
    <t>Minimum Number of Trading Days Left</t>
  </si>
  <si>
    <t>Daily Profit Needed (equal split)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</si>
</sst>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8.0"/>
      <color theme="1"/>
      <name val="JetBrains Mono"/>
    </font>
    <font>
      <b/>
      <sz val="14.0"/>
      <color theme="1"/>
      <name val="JetBrains Mono"/>
    </font>
    <font>
      <color theme="1"/>
      <name val="JetBrai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10" xfId="0" applyAlignment="1" applyFont="1" applyNumberFormat="1">
      <alignment readingOrder="0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25"/>
    <col customWidth="1" min="3" max="3" width="15.0"/>
    <col customWidth="1" min="4" max="4" width="26.25"/>
    <col customWidth="1" min="5" max="5" width="36.0"/>
    <col customWidth="1" min="6" max="6" width="26.25"/>
    <col customWidth="1" min="7" max="7" width="33.25"/>
    <col customWidth="1" min="8" max="8" width="38.75"/>
    <col customWidth="1" min="9" max="9" width="33.25"/>
    <col customWidth="1" min="10" max="10" width="50.0"/>
    <col customWidth="1" min="11" max="11" width="47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/>
    </row>
    <row r="3">
      <c r="A3" s="4">
        <v>4758.34</v>
      </c>
      <c r="B3" s="4">
        <v>2100.0</v>
      </c>
      <c r="C3" s="4">
        <v>2000.0</v>
      </c>
      <c r="D3" s="4">
        <v>359.0</v>
      </c>
      <c r="E3" s="5">
        <f>MAX(500, (B3+C3)-A3)</f>
        <v>500</v>
      </c>
      <c r="F3" s="4">
        <v>6.6</v>
      </c>
      <c r="G3" s="6">
        <v>0.5</v>
      </c>
      <c r="H3" s="5">
        <f>MAX(E3, ABS(D3)/G3)</f>
        <v>718</v>
      </c>
      <c r="I3" s="5">
        <f>H3-F3</f>
        <v>711.4</v>
      </c>
      <c r="J3" s="7">
        <f>_xlfn.CEILING.MATH(I3/(H3*G3))</f>
        <v>2</v>
      </c>
      <c r="K3" s="5">
        <f>I3/J3</f>
        <v>355.7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</sheetData>
  <mergeCells count="1">
    <mergeCell ref="A1:K1"/>
  </mergeCells>
  <drawing r:id="rId1"/>
</worksheet>
</file>